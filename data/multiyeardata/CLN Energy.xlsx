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C93" i="6"/>
  <c r="D93" i="6"/>
  <c r="D13" i="1" s="1"/>
  <c r="E93" i="6"/>
  <c r="E13" i="1" s="1"/>
  <c r="F93" i="6"/>
  <c r="G93" i="6"/>
  <c r="B93" i="6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<sst xmlns="http://schemas.openxmlformats.org/spreadsheetml/2006/main" count="145" uniqueCount="93">
  <si>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</si>
  <si>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</si>
  <si>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</si>
  <si>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</si>
  <si>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</si>
  <si>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</si>
  <si>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</si>
  <si>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</si>
  <si>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</si>
  <si>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</si>
  <si>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</si>
  <si>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</si>
  <si>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</si>
  <si>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</si>
  <si>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</si>
  <si>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</si>
  <si>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</si>
  <si>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</si>
  <si>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</si>
  <si>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</si>
  <si>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</si>
  <si>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</si>
  <si>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</si>
  <si>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</si>
  <si>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</si>
  <si>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</si>
  <si>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</si>
  <si>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</si>
  <si>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</si>
  <si>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</si>
  <si>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</si>
  <si>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</si>
  <si>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</si>
  <si>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</si>
  <si>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</si>
  <si>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</si>
  <si>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</si>
  <si>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</si>
  <si>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</si>
  <si>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</si>
  <si>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</si>
  <si>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</si>
  <si>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</si>
  <si>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</si>
  <si>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</si>
  <si>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</si>
  <si>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</si>
  <si>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</si>
  <si>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</si>
  <si>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</si>
  <si>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</si>
  <si>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</si>
  <si>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</si>
  <si>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</si>
  <si>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</si>
  <si>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</si>
  <si>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</si>
  <si>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</si>
  <si>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</si>
  <si>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</si>
  <si>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</si>
  <si>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</si>
  <si>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</si>
  <si>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CLN ENERGY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</si>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</sst>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374.00</v>
      </c>
    </row>
    <row r="9" spans="1:11" x14ac:dyDescent="0.2">
      <c r="A9" s="5" t="s">
        <v>79</v>
      </c>
      <c r="B9">
        <v>394.69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/>
      <c r="C16" s="16"/>
      <c r="D16" s="16"/>
      <c r="E16" s="16"/>
      <c r="F16" s="16"/>
      <c r="G16" s="16"/>
      <c r="H16" s="16">
        <v>44651.0</v>
      </c>
      <c r="I16" s="16">
        <v>45016.0</v>
      </c>
      <c r="J16" s="16">
        <v>45382.0</v>
      </c>
      <c r="K16" s="16">
        <v>45747.0</v>
      </c>
    </row>
    <row r="17" spans="1:1" s="9" customFormat="1" x14ac:dyDescent="0.2">
      <c r="A17" s="9" t="s">
        <v>6</v>
      </c>
      <c r="H17">
        <v>121.69</v>
      </c>
      <c r="I17">
        <v>128.82</v>
      </c>
      <c r="J17">
        <v>132.71</v>
      </c>
      <c r="K17">
        <v>219.18</v>
      </c>
    </row>
    <row r="18" spans="1:1" s="9" customFormat="1" x14ac:dyDescent="0.2">
      <c r="A18" s="5" t="s">
        <v>80</v>
      </c>
      <c r="H18">
        <v>109.51</v>
      </c>
      <c r="I18">
        <v>116.52</v>
      </c>
      <c r="J18">
        <v>91.33</v>
      </c>
      <c r="K18">
        <v>184.35</v>
      </c>
    </row>
    <row r="19" spans="1:1" s="9" customFormat="1" x14ac:dyDescent="0.2">
      <c r="A19" s="5" t="s">
        <v>81</v>
      </c>
      <c r="H19">
        <v>3.73</v>
      </c>
      <c r="I19">
        <v>1.73</v>
      </c>
      <c r="J19">
        <v>3.35</v>
      </c>
      <c r="K19">
        <v>18.97</v>
      </c>
    </row>
    <row r="20" spans="1:1" s="9" customFormat="1" x14ac:dyDescent="0.2">
      <c r="A20" s="5" t="s">
        <v>82</v>
      </c>
      <c r="H20">
        <v>0.44</v>
      </c>
      <c r="I20">
        <v>0.8</v>
      </c>
      <c r="J20">
        <v>0.93</v>
      </c>
      <c r="K20">
        <v>1.03</v>
      </c>
    </row>
    <row r="21" spans="1:1" s="9" customFormat="1" x14ac:dyDescent="0.2">
      <c r="A21" s="5" t="s">
        <v>83</v>
      </c>
      <c r="H21">
        <v>3.09</v>
      </c>
      <c r="I21">
        <v>-19.64</v>
      </c>
      <c r="J21">
        <v>4.21</v>
      </c>
      <c r="K21">
        <v>1.33</v>
      </c>
    </row>
    <row r="22" spans="1:1" s="9" customFormat="1" x14ac:dyDescent="0.2">
      <c r="A22" s="5" t="s">
        <v>84</v>
      </c>
      <c r="H22">
        <v>4.02</v>
      </c>
      <c r="I22">
        <v>9.16</v>
      </c>
      <c r="J22">
        <v>12.9</v>
      </c>
      <c r="K22">
        <v>11.36</v>
      </c>
    </row>
    <row r="23" spans="1:1" s="9" customFormat="1" x14ac:dyDescent="0.2">
      <c r="A23" s="5" t="s">
        <v>85</v>
      </c>
      <c r="H23">
        <v>1.67</v>
      </c>
      <c r="I23">
        <v>4.48</v>
      </c>
      <c r="J23">
        <v>5.52</v>
      </c>
      <c r="K23">
        <v>10.88</v>
      </c>
    </row>
    <row r="24" spans="1:1" s="9" customFormat="1" x14ac:dyDescent="0.2">
      <c r="A24" s="5" t="s">
        <v>86</v>
      </c>
      <c r="H24">
        <v>0.31</v>
      </c>
      <c r="I24">
        <v>5.84</v>
      </c>
      <c r="J24">
        <v>2.47</v>
      </c>
      <c r="K24">
        <v>3.86</v>
      </c>
    </row>
    <row r="25" spans="1:1" s="9" customFormat="1" x14ac:dyDescent="0.2">
      <c r="A25" s="9" t="s">
        <v>9</v>
      </c>
      <c r="H25">
        <v>0.01</v>
      </c>
      <c r="I25">
        <v>-6.64</v>
      </c>
      <c r="J25">
        <v>0.15</v>
      </c>
      <c r="K25">
        <v>0.71</v>
      </c>
    </row>
    <row r="26" spans="1:1" s="9" customFormat="1" x14ac:dyDescent="0.2">
      <c r="A26" s="9" t="s">
        <v>10</v>
      </c>
      <c r="H26">
        <v>1.34</v>
      </c>
      <c r="I26">
        <v>5.77</v>
      </c>
      <c r="J26">
        <v>6.43</v>
      </c>
      <c r="K26">
        <v>6.28</v>
      </c>
    </row>
    <row r="27" spans="1:1" s="9" customFormat="1" x14ac:dyDescent="0.2">
      <c r="A27" s="9" t="s">
        <v>11</v>
      </c>
      <c r="H27">
        <v>0.03</v>
      </c>
      <c r="I27">
        <v>0.07</v>
      </c>
      <c r="J27">
        <v>0.18</v>
      </c>
      <c r="K27">
        <v>0.93</v>
      </c>
    </row>
    <row r="28" spans="1:1" s="9" customFormat="1" x14ac:dyDescent="0.2">
      <c r="A28" s="9" t="s">
        <v>12</v>
      </c>
      <c r="H28">
        <v>5.02</v>
      </c>
      <c r="I28">
        <v>0.91</v>
      </c>
      <c r="J28">
        <v>12.24</v>
      </c>
      <c r="K28">
        <v>18.84</v>
      </c>
    </row>
    <row r="29" spans="1:1" s="9" customFormat="1" x14ac:dyDescent="0.2">
      <c r="A29" s="9" t="s">
        <v>13</v>
      </c>
      <c r="H29">
        <v>1.37</v>
      </c>
      <c r="I29">
        <v>0.17</v>
      </c>
      <c r="J29">
        <v>2.46</v>
      </c>
      <c r="K29">
        <v>5.92</v>
      </c>
    </row>
    <row r="30" spans="1:1" s="9" customFormat="1" x14ac:dyDescent="0.2">
      <c r="A30" s="9" t="s">
        <v>14</v>
      </c>
      <c r="H30">
        <v>3.64</v>
      </c>
      <c r="I30">
        <v>0.73</v>
      </c>
      <c r="J30">
        <v>9.79</v>
      </c>
      <c r="K30">
        <v>12.92</v>
      </c>
    </row>
    <row r="31" spans="1:1" s="9" customFormat="1" x14ac:dyDescent="0.2">
      <c r="A31" s="9" t="s">
        <v>70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/>
      <c r="C41" s="16"/>
      <c r="D41" s="16"/>
      <c r="E41" s="16"/>
      <c r="F41" s="16"/>
      <c r="G41" s="16"/>
      <c r="H41" s="16"/>
      <c r="I41" s="16"/>
      <c r="J41" s="16"/>
      <c r="K41" s="16"/>
    </row>
    <row r="42" spans="1:11" s="9" customFormat="1" x14ac:dyDescent="0.2">
      <c r="A42" s="9" t="s">
        <v>6</v>
      </c>
    </row>
    <row r="43" spans="1:11" s="9" customFormat="1" x14ac:dyDescent="0.2">
      <c r="A43" s="9" t="s">
        <v>7</v>
      </c>
    </row>
    <row r="44" spans="1:11" s="9" customFormat="1" x14ac:dyDescent="0.2">
      <c r="A44" s="9" t="s">
        <v>9</v>
      </c>
    </row>
    <row r="45" spans="1:11" s="9" customFormat="1" x14ac:dyDescent="0.2">
      <c r="A45" s="9" t="s">
        <v>10</v>
      </c>
    </row>
    <row r="46" spans="1:11" s="9" customFormat="1" x14ac:dyDescent="0.2">
      <c r="A46" s="9" t="s">
        <v>11</v>
      </c>
    </row>
    <row r="47" spans="1:11" s="9" customFormat="1" x14ac:dyDescent="0.2">
      <c r="A47" s="9" t="s">
        <v>12</v>
      </c>
    </row>
    <row r="48" spans="1:11" s="9" customFormat="1" x14ac:dyDescent="0.2">
      <c r="A48" s="9" t="s">
        <v>13</v>
      </c>
    </row>
    <row r="49" spans="1:11" s="9" customFormat="1" x14ac:dyDescent="0.2">
      <c r="A49" s="9" t="s">
        <v>14</v>
      </c>
    </row>
    <row r="50" spans="1:11" x14ac:dyDescent="0.2">
      <c r="A50" s="9" t="s">
        <v>8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/>
      <c r="C56" s="16"/>
      <c r="D56" s="16"/>
      <c r="E56" s="16"/>
      <c r="F56" s="16"/>
      <c r="G56" s="16"/>
      <c r="H56" s="16">
        <v>44651.0</v>
      </c>
      <c r="I56" s="16">
        <v>45016.0</v>
      </c>
      <c r="J56" s="16">
        <v>45382.0</v>
      </c>
      <c r="K56" s="16">
        <v>45747.0</v>
      </c>
    </row>
    <row r="57" spans="1:11" x14ac:dyDescent="0.2">
      <c r="A57" s="9" t="s">
        <v>24</v>
      </c>
      <c r="H57">
        <v>1.14</v>
      </c>
      <c r="I57">
        <v>1.14</v>
      </c>
      <c r="J57">
        <v>3.41</v>
      </c>
      <c r="K57">
        <v>10.55</v>
      </c>
    </row>
    <row r="58" spans="1:11" x14ac:dyDescent="0.2">
      <c r="A58" s="9" t="s">
        <v>25</v>
      </c>
      <c r="H58">
        <v>1.72</v>
      </c>
      <c r="I58">
        <v>2.45</v>
      </c>
      <c r="J58">
        <v>9.97</v>
      </c>
      <c r="K58">
        <v>83.94</v>
      </c>
    </row>
    <row r="59" spans="1:11" x14ac:dyDescent="0.2">
      <c r="A59" s="9" t="s">
        <v>71</v>
      </c>
      <c r="K59">
        <v>15.82</v>
      </c>
    </row>
    <row r="60" spans="1:11" x14ac:dyDescent="0.2">
      <c r="A60" s="9" t="s">
        <v>72</v>
      </c>
      <c r="H60">
        <v>59.19</v>
      </c>
      <c r="I60">
        <v>106.04</v>
      </c>
      <c r="J60">
        <v>99.89</v>
      </c>
      <c r="K60">
        <v>89.12</v>
      </c>
    </row>
    <row r="61" spans="1:11" s="1" customFormat="1" x14ac:dyDescent="0.2">
      <c r="A61" s="1" t="s">
        <v>26</v>
      </c>
      <c r="H61">
        <v>62.05</v>
      </c>
      <c r="I61">
        <v>109.63</v>
      </c>
      <c r="J61">
        <v>113.27</v>
      </c>
      <c r="K61">
        <v>199.43</v>
      </c>
    </row>
    <row r="62" spans="1:11" x14ac:dyDescent="0.2">
      <c r="A62" s="9" t="s">
        <v>27</v>
      </c>
      <c r="H62">
        <v>4.53</v>
      </c>
      <c r="I62">
        <v>16.12</v>
      </c>
      <c r="J62">
        <v>17.54</v>
      </c>
      <c r="K62">
        <v>18.33</v>
      </c>
    </row>
    <row r="63" spans="1:11" x14ac:dyDescent="0.2">
      <c r="A63" s="9" t="s">
        <v>28</v>
      </c>
      <c r="H63">
        <v>6.0</v>
      </c>
      <c r="I63">
        <v>2.97</v>
      </c>
    </row>
    <row r="64" spans="1:11" x14ac:dyDescent="0.2">
      <c r="A64" s="9" t="s">
        <v>29</v>
      </c>
    </row>
    <row r="65" spans="1:1" x14ac:dyDescent="0.2">
      <c r="A65" s="9" t="s">
        <v>73</v>
      </c>
      <c r="H65">
        <v>51.52</v>
      </c>
      <c r="I65">
        <v>90.54</v>
      </c>
      <c r="J65">
        <v>95.73</v>
      </c>
      <c r="K65">
        <v>181.1</v>
      </c>
    </row>
    <row r="66" spans="1:1" s="1" customFormat="1" x14ac:dyDescent="0.2">
      <c r="A66" s="1" t="s">
        <v>26</v>
      </c>
      <c r="H66">
        <v>62.05</v>
      </c>
      <c r="I66">
        <v>109.63</v>
      </c>
      <c r="J66">
        <v>113.27</v>
      </c>
      <c r="K66">
        <v>199.43</v>
      </c>
    </row>
    <row r="67" spans="1:1" s="9" customFormat="1" x14ac:dyDescent="0.2">
      <c r="A67" s="9" t="s">
        <v>78</v>
      </c>
      <c r="H67">
        <v>7.62</v>
      </c>
      <c r="I67">
        <v>25.21</v>
      </c>
      <c r="J67">
        <v>24.78</v>
      </c>
      <c r="K67">
        <v>75.21</v>
      </c>
    </row>
    <row r="68" spans="1:1" x14ac:dyDescent="0.2">
      <c r="A68" s="9" t="s">
        <v>45</v>
      </c>
      <c r="H68">
        <v>37.11</v>
      </c>
      <c r="I68">
        <v>31.93</v>
      </c>
      <c r="J68">
        <v>35.49</v>
      </c>
      <c r="K68">
        <v>64.23</v>
      </c>
    </row>
    <row r="69" spans="1:1" x14ac:dyDescent="0.2">
      <c r="A69" s="5" t="s">
        <v>87</v>
      </c>
      <c r="H69">
        <v>0.99</v>
      </c>
      <c r="I69">
        <v>1.75</v>
      </c>
      <c r="J69">
        <v>3.79</v>
      </c>
      <c r="K69">
        <v>7.8</v>
      </c>
    </row>
    <row r="70" spans="1:1" x14ac:dyDescent="0.2">
      <c r="A70" s="5" t="s">
        <v>74</v>
      </c>
      <c r="H70">
        <v>1135000.0</v>
      </c>
      <c r="I70">
        <v>1135000.0</v>
      </c>
      <c r="J70">
        <v>3405000.0</v>
      </c>
      <c r="K70">
        <v>10553250.0</v>
      </c>
    </row>
    <row r="71" spans="1:1" x14ac:dyDescent="0.2">
      <c r="A71" s="5" t="s">
        <v>75</v>
      </c>
    </row>
    <row r="72" spans="1:1" x14ac:dyDescent="0.2">
      <c r="A72" s="5" t="s">
        <v>88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/>
      <c r="C81" s="16"/>
      <c r="D81" s="16"/>
      <c r="E81" s="16"/>
      <c r="F81" s="16"/>
      <c r="G81" s="16"/>
      <c r="H81" s="16">
        <v>44651.0</v>
      </c>
      <c r="I81" s="16">
        <v>45016.0</v>
      </c>
      <c r="J81" s="16">
        <v>45382.0</v>
      </c>
      <c r="K81" s="16">
        <v>45747.0</v>
      </c>
    </row>
    <row r="82" spans="1:11" s="1" customFormat="1" x14ac:dyDescent="0.2">
      <c r="A82" s="9" t="s">
        <v>32</v>
      </c>
      <c r="H82">
        <v>7.93</v>
      </c>
      <c r="I82">
        <v>15.02</v>
      </c>
      <c r="J82">
        <v>4.5</v>
      </c>
      <c r="K82">
        <v>-66.82</v>
      </c>
    </row>
    <row r="83" spans="1:11" s="9" customFormat="1" x14ac:dyDescent="0.2">
      <c r="A83" s="9" t="s">
        <v>33</v>
      </c>
      <c r="H83">
        <v>-9.28</v>
      </c>
      <c r="I83">
        <v>-15.36</v>
      </c>
      <c r="J83">
        <v>-1.37</v>
      </c>
      <c r="K83">
        <v>-12.59</v>
      </c>
    </row>
    <row r="84" spans="1:11" s="9" customFormat="1" x14ac:dyDescent="0.2">
      <c r="A84" s="9" t="s">
        <v>34</v>
      </c>
      <c r="H84">
        <v>2.03</v>
      </c>
      <c r="K84">
        <v>83.42</v>
      </c>
    </row>
    <row r="85" spans="1:11" s="1" customFormat="1" x14ac:dyDescent="0.2">
      <c r="A85" s="9" t="s">
        <v>35</v>
      </c>
      <c r="H85">
        <v>0.67</v>
      </c>
      <c r="I85">
        <v>-0.33</v>
      </c>
      <c r="J85">
        <v>3.13</v>
      </c>
      <c r="K85">
        <v>4.01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K90">
        <v>255.1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f>IF($B7&gt;0,(B70*B72/$B7)+SUM(C71:$K71),0)/10000000</f>
      </c>
      <c r="C93" s="31">
        <f>IF($B7&gt;0,(C70*C72/$B7)+SUM(D71:$K71),0)/10000000</f>
      </c>
      <c r="D93" s="31">
        <f>IF($B7&gt;0,(D70*D72/$B7)+SUM(E71:$K71),0)/10000000</f>
      </c>
      <c r="E93" s="31">
        <f>IF($B7&gt;0,(E70*E72/$B7)+SUM(F71:$K71),0)/10000000</f>
      </c>
      <c r="F93" s="31">
        <f>IF($B7&gt;0,(F70*F72/$B7)+SUM(G71:$K71),0)/10000000</f>
      </c>
      <c r="G93" s="31">
        <f>IF($B7&gt;0,(G70*G72/$B7)+SUM(H71:$K71),0)/10000000</f>
      </c>
      <c r="H93" s="31">
        <v>0.11</v>
      </c>
      <c r="I93" s="31">
        <v>0.11</v>
      </c>
      <c r="J93" s="31">
        <v>0.34</v>
      </c>
      <c r="K93" s="31">
        <v>1.06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